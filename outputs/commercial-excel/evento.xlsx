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" state="visible" r:id="rId4"/>
    <sheet sheetId="2" name="Catering" state="visible" r:id="rId5"/>
    <sheet sheetId="3" name="Actualizaciones" state="visible" r:id="rId6"/>
  </sheets>
  <definedNames>
    <definedName name="TotalServiciosDetalle">CLIENTE!$G$13</definedName>
    <definedName name="CobrosServicios">CLIENTE!$G$46</definedName>
    <definedName name="SaldoServiciosDetalle">CLIENTE!$G$47</definedName>
    <definedName name="_xlnm.Print_Area" localSheetId="0">'CLIENTE'!$A$1:$G$79</definedName>
    <definedName name="_xlnm.Print_Area" localSheetId="1">'Catering'!$A$1:$G$35</definedName>
    <definedName name="_xlnm.Print_Area" localSheetId="2">'Actualizaciones'!$A$1:$G$3</definedName>
  </definedNames>
  <calcPr calcId="171027" fullCalcOnLoad="1"/>
</workbook>
</file>

<file path=xl/sharedStrings.xml><?xml version="1.0" encoding="utf-8"?>
<sst xmlns="http://schemas.openxmlformats.org/spreadsheetml/2006/main" count="177" uniqueCount="104">
  <si>
    <t>CLIENTE</t>
  </si>
  <si>
    <t>Cliente de demostración</t>
  </si>
  <si>
    <t>FECHA</t>
  </si>
  <si>
    <t>PAX</t>
  </si>
  <si>
    <t>SALÓN</t>
  </si>
  <si>
    <t>Salón de demostración</t>
  </si>
  <si>
    <t>CATERING</t>
  </si>
  <si>
    <t>Ver hoja Catering</t>
  </si>
  <si>
    <t>TIPO</t>
  </si>
  <si>
    <t>Social</t>
  </si>
  <si>
    <t>AMBIENTACIÓN</t>
  </si>
  <si>
    <t>ORGANIZADOR</t>
  </si>
  <si>
    <t>Organización ficticia</t>
  </si>
  <si>
    <t>EVENTO</t>
  </si>
  <si>
    <t>Celebración ficticia</t>
  </si>
  <si>
    <t>COMISIÓN</t>
  </si>
  <si>
    <t>VENDEDOR</t>
  </si>
  <si>
    <t>Vendedora de ejemplo</t>
  </si>
  <si>
    <t>PAX: adultos 10, jóvenes 2, menores 0, bebés 0</t>
  </si>
  <si>
    <t>Organizador: organizacion@example.invalid · Teléfono ficticio</t>
  </si>
  <si>
    <t>SERVICIOS Y ADICIONALES</t>
  </si>
  <si>
    <t>Servicio</t>
  </si>
  <si>
    <t>Base ARS</t>
  </si>
  <si>
    <t>Adicionales ARS</t>
  </si>
  <si>
    <t>Comisiona</t>
  </si>
  <si>
    <t>Proveedor</t>
  </si>
  <si>
    <t>Neto ARS</t>
  </si>
  <si>
    <t>Total ARS</t>
  </si>
  <si>
    <t>Salón</t>
  </si>
  <si>
    <t>Sí</t>
  </si>
  <si>
    <t>Proveedor ficticio</t>
  </si>
  <si>
    <t>IVA aplicado sólo a la base imponible guardada.</t>
  </si>
  <si>
    <t>Servicio fuera de los bloques originales</t>
  </si>
  <si>
    <t>No</t>
  </si>
  <si>
    <t>Técnica de ejemplo</t>
  </si>
  <si>
    <t>Total servicios — detalle</t>
  </si>
  <si>
    <t>IVA PARCIAL Y SALDOS POR SERVICIO</t>
  </si>
  <si>
    <t>Base IVA ARS</t>
  </si>
  <si>
    <t>IVA %</t>
  </si>
  <si>
    <t>IVA ARS</t>
  </si>
  <si>
    <t>Pagado ARS</t>
  </si>
  <si>
    <t>Saldo ARS</t>
  </si>
  <si>
    <t>Los cobros del detalle de Salón suman $ 6.399,00. El cobrado acumulado guardado es $ 0,00. Se exportan los cobros ordinarios del detalle.</t>
  </si>
  <si>
    <t>El saldo mostrado en el detalle de Salón es $ 4.521,00. El saldo guardado es $ 10.920,00. Se exporta el saldo del detalle.</t>
  </si>
  <si>
    <t>PAGOS — Salón</t>
  </si>
  <si>
    <t>Medio y moneda</t>
  </si>
  <si>
    <t>Fecha</t>
  </si>
  <si>
    <t>Banco</t>
  </si>
  <si>
    <t>N° cheque</t>
  </si>
  <si>
    <t>Importe original</t>
  </si>
  <si>
    <t>Cotización ARS</t>
  </si>
  <si>
    <t>Equivalente ARS</t>
  </si>
  <si>
    <t>Efectivo ARS</t>
  </si>
  <si>
    <t>Anticipo ficticio</t>
  </si>
  <si>
    <t>Efectivo USD</t>
  </si>
  <si>
    <t>Transferencia ARS</t>
  </si>
  <si>
    <t>Banco ficticio</t>
  </si>
  <si>
    <t>Transferencia USD</t>
  </si>
  <si>
    <t>Subtotal de estos pagos (ARS)</t>
  </si>
  <si>
    <t>Saldo del servicio — deuda menos cobros ordinarios</t>
  </si>
  <si>
    <t>PAGOS — Servicio fuera de los bloques originales</t>
  </si>
  <si>
    <t>Sin pagos registrados.</t>
  </si>
  <si>
    <t>Cobros ordinarios de servicios</t>
  </si>
  <si>
    <t>Saldo servicios — detalle (deuda menos cobros)</t>
  </si>
  <si>
    <t>Un saldo negativo indica un importe a favor. Las garantías se muestran por separado y no reducen la deuda.</t>
  </si>
  <si>
    <t>GARANTÍAS — SERVICIOS</t>
  </si>
  <si>
    <t>DATOS DE FACTURACIÓN</t>
  </si>
  <si>
    <t>Razón social: Ejemplo SA</t>
  </si>
  <si>
    <t>CUIT / DNI: CUIT ficticio</t>
  </si>
  <si>
    <t>Dirección de factura: Calle de prueba 123</t>
  </si>
  <si>
    <t>Dirección: Calle de prueba 123</t>
  </si>
  <si>
    <t>Ciudad: Ciudad de ejemplo</t>
  </si>
  <si>
    <t>El evento no guarda un monto final de factura ni una empresa emisora. No se completaron esos importes desde la referencia.</t>
  </si>
  <si>
    <t>CONTACTOS ACTUALES</t>
  </si>
  <si>
    <t>Contacto ficticio 1 · Principal</t>
  </si>
  <si>
    <t>Teléfono de ejemplo · contacto1@example.invalid · Cliente · Contacto actual guardado.</t>
  </si>
  <si>
    <t>Contacto ficticio 2</t>
  </si>
  <si>
    <t>Teléfono de ejemplo · contacto2@example.invalid · Administración · Contacto actual guardado.</t>
  </si>
  <si>
    <t>Contacto ficticio 3</t>
  </si>
  <si>
    <t>Teléfono de ejemplo · contacto3@example.invalid · Administración · Contacto actual guardado.</t>
  </si>
  <si>
    <t>Contacto ficticio 4</t>
  </si>
  <si>
    <t>Teléfono de ejemplo · contacto4@example.invalid · Administración · Contacto actual guardado.</t>
  </si>
  <si>
    <t>Contacto anterior — texto conservado: Contacto anterior de demostración</t>
  </si>
  <si>
    <t>Observaciones: Datos completamente ficticios para revisar el formato.</t>
  </si>
  <si>
    <t>Resumen parcial: incluye únicamente información autorizada.</t>
  </si>
  <si>
    <t>Este total corresponde a servicios. Los contratos de catering se presentan por separado cuando el usuario tiene permiso para consultarlos.</t>
  </si>
  <si>
    <t>CATERING VINCULADO — SUBTOTALES SEPARADOS</t>
  </si>
  <si>
    <t>Los servicios y los contratos de catering se presentan por separado porque no se puede confirmar si incluyen cargos compartidos.</t>
  </si>
  <si>
    <t>Menú de demostración</t>
  </si>
  <si>
    <t>Total del catering — detalle</t>
  </si>
  <si>
    <t>Saldo pendiente — detalle</t>
  </si>
  <si>
    <t>Cobrado acumulado guardado</t>
  </si>
  <si>
    <t>Cobros ordinarios registrados</t>
  </si>
  <si>
    <t>Garantías registradas</t>
  </si>
  <si>
    <t>PAGOS ORDINARIOS DEL CONTRATO</t>
  </si>
  <si>
    <t>GARANTÍAS DEL CONTRATO</t>
  </si>
  <si>
    <t>ACTUALIZACIONES REGISTRADAS — ANTECEDENTES QUE NO SE SUMAN AL PRECIO VIGENTE</t>
  </si>
  <si>
    <t>Inicio</t>
  </si>
  <si>
    <t>Ajuste</t>
  </si>
  <si>
    <t>Tipo</t>
  </si>
  <si>
    <t>Valor inicial</t>
  </si>
  <si>
    <t>Valor ajustado</t>
  </si>
  <si>
    <t>Porcentaje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</si>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</sst>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;[Red]-#,##0.00"/>
    <numFmt numFmtId="166" formatCode="0.0000"/>
  </numFmts>
  <fonts count="6" x14ac:knownFonts="1">
    <font>
      <color theme="1"/>
      <family val="2"/>
      <scheme val="minor"/>
      <sz val="11"/>
      <name val="Calibri"/>
    </font>
    <font>
      <b/>
      <family val="2"/>
      <scheme val="minor"/>
      <sz val="12"/>
      <name val="Calibri"/>
    </font>
    <font>
      <family val="2"/>
      <scheme val="minor"/>
      <sz val="12"/>
      <name val="Calibri"/>
    </font>
    <font>
      <color rgb="FF333333"/>
      <family val="2"/>
      <scheme val="minor"/>
      <sz val="12"/>
      <name val="Calibri"/>
    </font>
    <font>
      <b/>
      <color rgb="FF000000"/>
      <family val="2"/>
      <scheme val="minor"/>
      <sz val="12"/>
      <name val="Calibri"/>
    </font>
    <font>
      <color theme="1"/>
      <family val="2"/>
      <scheme val="minor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" fontId="1" fillId="0" borderId="3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165" fontId="1" fillId="0" borderId="4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5" fontId="2" fillId="0" borderId="4" xfId="0" applyNumberFormat="1" applyFont="1" applyBorder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165" fontId="4" fillId="3" borderId="4" xfId="0" applyNumberFormat="1" applyFont="1" applyFill="1" applyBorder="1" applyAlignment="1">
      <alignment horizontal="righ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10" fontId="2" fillId="0" borderId="4" xfId="0" applyNumberFormat="1" applyFont="1" applyBorder="1" applyAlignment="1">
      <alignment horizontal="right" vertical="center" wrapText="1"/>
    </xf>
    <xf numFmtId="165" fontId="1" fillId="0" borderId="4" xfId="0" applyNumberFormat="1" applyFont="1" applyBorder="1" applyAlignment="1">
      <alignment horizontal="right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4" fontId="0" fillId="0" borderId="4" xfId="0" applyNumberFormat="1" applyBorder="1" applyAlignment="1">
      <alignment horizontal="left" vertical="center" wrapText="1"/>
    </xf>
    <xf numFmtId="165" fontId="0" fillId="0" borderId="4" xfId="0" applyNumberForma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8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20.42578125" customWidth="1"/>
    <col min="3" max="3" width="16.28515625" customWidth="1"/>
    <col min="4" max="4" width="11.7109375" customWidth="1"/>
    <col min="5" max="5" width="15.85546875" customWidth="1"/>
    <col min="6" max="6" width="17.140625" customWidth="1"/>
    <col min="7" max="7" width="20.5703125" customWidth="1"/>
  </cols>
  <sheetData>
    <row r="1" ht="34" customHeight="1" spans="1:7" x14ac:dyDescent="0.25">
      <c r="A1" s="1" t="s">
        <v>0</v>
      </c>
      <c r="B1" s="2" t="s">
        <v>1</v>
      </c>
      <c r="C1" s="2"/>
      <c r="D1" s="2"/>
      <c r="E1" s="2"/>
      <c r="F1" s="2"/>
      <c r="G1" s="2"/>
    </row>
    <row r="2" ht="23" customHeight="1" spans="1:7" x14ac:dyDescent="0.25">
      <c r="A2" s="3" t="s">
        <v>2</v>
      </c>
      <c r="B2" s="4">
        <v>46452</v>
      </c>
      <c r="C2" s="3" t="s">
        <v>3</v>
      </c>
      <c r="D2" s="5">
        <v>12</v>
      </c>
      <c r="E2" s="3" t="s">
        <v>4</v>
      </c>
      <c r="F2" s="3" t="s">
        <v>5</v>
      </c>
      <c r="G2" s="3"/>
    </row>
    <row r="3" ht="23" customHeight="1" spans="1:7" x14ac:dyDescent="0.25">
      <c r="A3" s="6" t="s">
        <v>6</v>
      </c>
      <c r="B3" s="7" t="s">
        <v>7</v>
      </c>
      <c r="C3" s="7"/>
      <c r="D3" s="7"/>
      <c r="E3" s="6" t="s">
        <v>8</v>
      </c>
      <c r="F3" s="6" t="s">
        <v>9</v>
      </c>
      <c r="G3" s="6"/>
    </row>
    <row r="4" ht="36" customHeight="1" spans="1:7" x14ac:dyDescent="0.25">
      <c r="A4" s="6" t="s">
        <v>10</v>
      </c>
      <c r="B4" s="7"/>
      <c r="C4" s="7"/>
      <c r="D4" s="7"/>
      <c r="E4" s="6" t="s">
        <v>11</v>
      </c>
      <c r="F4" s="6" t="s">
        <v>12</v>
      </c>
      <c r="G4" s="6"/>
    </row>
    <row r="5" ht="23" customHeight="1" spans="1:7" x14ac:dyDescent="0.25">
      <c r="A5" s="6" t="s">
        <v>13</v>
      </c>
      <c r="B5" s="7" t="s">
        <v>14</v>
      </c>
      <c r="C5" s="7"/>
      <c r="D5" s="7"/>
      <c r="E5" s="6" t="s">
        <v>15</v>
      </c>
      <c r="F5" s="8">
        <v>200</v>
      </c>
      <c r="G5" s="8"/>
    </row>
    <row r="6" ht="36" customHeight="1" spans="1:7" x14ac:dyDescent="0.25">
      <c r="A6" s="6" t="s">
        <v>16</v>
      </c>
      <c r="B6" s="6" t="s">
        <v>17</v>
      </c>
      <c r="C6" s="6"/>
      <c r="D6" s="6"/>
      <c r="E6" s="9" t="s">
        <v>18</v>
      </c>
      <c r="F6" s="9"/>
      <c r="G6" s="9"/>
    </row>
    <row r="7" ht="28" customHeight="1" spans="1:7" x14ac:dyDescent="0.25">
      <c r="A7" s="10" t="s">
        <v>19</v>
      </c>
      <c r="B7" s="10"/>
      <c r="C7" s="10"/>
      <c r="D7" s="10"/>
      <c r="E7" s="10"/>
      <c r="F7" s="10"/>
      <c r="G7" s="10"/>
    </row>
    <row r="8" ht="26" customHeight="1" spans="1:7" x14ac:dyDescent="0.25">
      <c r="A8" s="11" t="s">
        <v>20</v>
      </c>
      <c r="B8" s="11"/>
      <c r="C8" s="11"/>
      <c r="D8" s="11"/>
      <c r="E8" s="11"/>
      <c r="F8" s="11"/>
      <c r="G8" s="11"/>
    </row>
    <row r="9" ht="38" customHeight="1" spans="1:7" x14ac:dyDescent="0.25">
      <c r="A9" s="6" t="s">
        <v>21</v>
      </c>
      <c r="B9" s="12" t="s">
        <v>22</v>
      </c>
      <c r="C9" s="12" t="s">
        <v>23</v>
      </c>
      <c r="D9" s="13" t="s">
        <v>24</v>
      </c>
      <c r="E9" s="13" t="s">
        <v>25</v>
      </c>
      <c r="F9" s="14" t="s">
        <v>26</v>
      </c>
      <c r="G9" s="13" t="s">
        <v>27</v>
      </c>
    </row>
    <row r="10" ht="38" customHeight="1" spans="1:7" x14ac:dyDescent="0.25">
      <c r="A10" s="6" t="s">
        <v>28</v>
      </c>
      <c r="B10" s="15">
        <v>10000</v>
      </c>
      <c r="C10" s="15">
        <v>500</v>
      </c>
      <c r="D10" s="13" t="s">
        <v>29</v>
      </c>
      <c r="E10" s="13" t="s">
        <v>30</v>
      </c>
      <c r="F10" s="16">
        <v>10500</v>
      </c>
      <c r="G10" s="17">
        <v>10920</v>
      </c>
    </row>
    <row r="11" ht="28" customHeight="1" spans="1:7" x14ac:dyDescent="0.25">
      <c r="A11" s="10" t="s">
        <v>31</v>
      </c>
      <c r="B11" s="10"/>
      <c r="C11" s="10"/>
      <c r="D11" s="10"/>
      <c r="E11" s="10"/>
      <c r="F11" s="10"/>
      <c r="G11" s="10"/>
    </row>
    <row r="12" ht="38" customHeight="1" spans="1:7" x14ac:dyDescent="0.25">
      <c r="A12" s="6" t="s">
        <v>32</v>
      </c>
      <c r="B12" s="15">
        <v>500</v>
      </c>
      <c r="C12" s="15">
        <v>0</v>
      </c>
      <c r="D12" s="13" t="s">
        <v>33</v>
      </c>
      <c r="E12" s="13" t="s">
        <v>34</v>
      </c>
      <c r="F12" s="16">
        <v>500</v>
      </c>
      <c r="G12" s="17">
        <v>500</v>
      </c>
    </row>
    <row r="13" ht="28" customHeight="1" spans="1:7" x14ac:dyDescent="0.25">
      <c r="A13" s="7" t="s">
        <v>35</v>
      </c>
      <c r="B13" s="7"/>
      <c r="C13" s="7"/>
      <c r="D13" s="7"/>
      <c r="E13" s="7"/>
      <c r="F13" s="7"/>
      <c r="G13" s="18">
        <f>SUM(G10:G12)</f>
        <v>11420</v>
      </c>
    </row>
    <row r="15" ht="26" customHeight="1" spans="1:7" x14ac:dyDescent="0.25">
      <c r="A15" s="11" t="s">
        <v>36</v>
      </c>
      <c r="B15" s="11"/>
      <c r="C15" s="11"/>
      <c r="D15" s="11"/>
      <c r="E15" s="11"/>
      <c r="F15" s="11"/>
      <c r="G15" s="11"/>
    </row>
    <row r="16" ht="23" customHeight="1" spans="1:7" x14ac:dyDescent="0.25">
      <c r="A16" s="19" t="s">
        <v>21</v>
      </c>
      <c r="B16" s="12" t="s">
        <v>26</v>
      </c>
      <c r="C16" s="12" t="s">
        <v>37</v>
      </c>
      <c r="D16" s="12" t="s">
        <v>38</v>
      </c>
      <c r="E16" s="12" t="s">
        <v>39</v>
      </c>
      <c r="F16" s="12" t="s">
        <v>40</v>
      </c>
      <c r="G16" s="6" t="s">
        <v>41</v>
      </c>
    </row>
    <row r="17" ht="23" customHeight="1" spans="1:7" x14ac:dyDescent="0.25">
      <c r="A17" s="19" t="s">
        <v>28</v>
      </c>
      <c r="B17" s="15">
        <v>10500</v>
      </c>
      <c r="C17" s="15">
        <v>2000</v>
      </c>
      <c r="D17" s="20">
        <v>0.21</v>
      </c>
      <c r="E17" s="15">
        <v>420</v>
      </c>
      <c r="F17" s="15">
        <v>6399</v>
      </c>
      <c r="G17" s="21">
        <v>4521</v>
      </c>
    </row>
    <row r="18" ht="40" customHeight="1" spans="1:7" x14ac:dyDescent="0.25">
      <c r="A18" s="10" t="s">
        <v>42</v>
      </c>
      <c r="B18" s="10"/>
      <c r="C18" s="10"/>
      <c r="D18" s="10"/>
      <c r="E18" s="10"/>
      <c r="F18" s="10"/>
      <c r="G18" s="10"/>
    </row>
    <row r="19" ht="40" customHeight="1" spans="1:7" x14ac:dyDescent="0.25">
      <c r="A19" s="10" t="s">
        <v>43</v>
      </c>
      <c r="B19" s="10"/>
      <c r="C19" s="10"/>
      <c r="D19" s="10"/>
      <c r="E19" s="10"/>
      <c r="F19" s="10"/>
      <c r="G19" s="10"/>
    </row>
    <row r="20" ht="38" customHeight="1" spans="1:7" x14ac:dyDescent="0.25">
      <c r="A20" s="19" t="s">
        <v>32</v>
      </c>
      <c r="B20" s="15">
        <v>500</v>
      </c>
      <c r="C20" s="15">
        <v>0</v>
      </c>
      <c r="D20" s="20">
        <v>0.21</v>
      </c>
      <c r="E20" s="15">
        <v>0</v>
      </c>
      <c r="F20" s="15">
        <v>0</v>
      </c>
      <c r="G20" s="21">
        <v>500</v>
      </c>
    </row>
    <row r="22" ht="26" customHeight="1" spans="1:7" x14ac:dyDescent="0.25">
      <c r="A22" s="11" t="s">
        <v>44</v>
      </c>
      <c r="B22" s="11"/>
      <c r="C22" s="11"/>
      <c r="D22" s="11"/>
      <c r="E22" s="11"/>
      <c r="F22" s="11"/>
      <c r="G22" s="11"/>
    </row>
    <row r="23" ht="38" customHeight="1" spans="1:7" x14ac:dyDescent="0.25">
      <c r="A23" s="22" t="s">
        <v>45</v>
      </c>
      <c r="B23" s="22" t="s">
        <v>46</v>
      </c>
      <c r="C23" s="22" t="s">
        <v>47</v>
      </c>
      <c r="D23" s="22" t="s">
        <v>48</v>
      </c>
      <c r="E23" s="22" t="s">
        <v>49</v>
      </c>
      <c r="F23" s="22" t="s">
        <v>50</v>
      </c>
      <c r="G23" s="22" t="s">
        <v>51</v>
      </c>
    </row>
    <row r="24" ht="23" customHeight="1" spans="1:7" x14ac:dyDescent="0.25">
      <c r="A24" s="6" t="s">
        <v>52</v>
      </c>
      <c r="B24" s="23">
        <v>46315</v>
      </c>
      <c r="C24" s="6"/>
      <c r="D24" s="6"/>
      <c r="E24" s="24">
        <v>125</v>
      </c>
      <c r="F24" s="25">
        <v>1</v>
      </c>
      <c r="G24" s="15">
        <v>125</v>
      </c>
    </row>
    <row r="25" ht="28" customHeight="1" spans="1:7" x14ac:dyDescent="0.25">
      <c r="A25" s="10" t="s">
        <v>53</v>
      </c>
      <c r="B25" s="10"/>
      <c r="C25" s="10"/>
      <c r="D25" s="10"/>
      <c r="E25" s="10"/>
      <c r="F25" s="10"/>
      <c r="G25" s="10"/>
    </row>
    <row r="26" ht="23" customHeight="1" spans="1:7" x14ac:dyDescent="0.25">
      <c r="A26" s="6" t="s">
        <v>54</v>
      </c>
      <c r="B26" s="23">
        <v>46315</v>
      </c>
      <c r="C26" s="6"/>
      <c r="D26" s="6"/>
      <c r="E26" s="24">
        <v>2</v>
      </c>
      <c r="F26" s="25">
        <v>1002</v>
      </c>
      <c r="G26" s="15">
        <v>2004</v>
      </c>
    </row>
    <row r="27" ht="28" customHeight="1" spans="1:7" x14ac:dyDescent="0.25">
      <c r="A27" s="10" t="s">
        <v>53</v>
      </c>
      <c r="B27" s="10"/>
      <c r="C27" s="10"/>
      <c r="D27" s="10"/>
      <c r="E27" s="10"/>
      <c r="F27" s="10"/>
      <c r="G27" s="10"/>
    </row>
    <row r="28" ht="38" customHeight="1" spans="1:7" x14ac:dyDescent="0.25">
      <c r="A28" s="6" t="s">
        <v>55</v>
      </c>
      <c r="B28" s="23">
        <v>46315</v>
      </c>
      <c r="C28" s="6" t="s">
        <v>56</v>
      </c>
      <c r="D28" s="6"/>
      <c r="E28" s="24">
        <v>125</v>
      </c>
      <c r="F28" s="25">
        <v>1</v>
      </c>
      <c r="G28" s="15">
        <v>125</v>
      </c>
    </row>
    <row r="29" ht="28" customHeight="1" spans="1:7" x14ac:dyDescent="0.25">
      <c r="A29" s="10" t="s">
        <v>53</v>
      </c>
      <c r="B29" s="10"/>
      <c r="C29" s="10"/>
      <c r="D29" s="10"/>
      <c r="E29" s="10"/>
      <c r="F29" s="10"/>
      <c r="G29" s="10"/>
    </row>
    <row r="30" ht="23" customHeight="1" spans="1:7" x14ac:dyDescent="0.25">
      <c r="A30" s="6" t="s">
        <v>54</v>
      </c>
      <c r="B30" s="23">
        <v>46315</v>
      </c>
      <c r="C30" s="6"/>
      <c r="D30" s="6"/>
      <c r="E30" s="24">
        <v>2</v>
      </c>
      <c r="F30" s="25">
        <v>1004</v>
      </c>
      <c r="G30" s="15">
        <v>2008</v>
      </c>
    </row>
    <row r="31" ht="28" customHeight="1" spans="1:7" x14ac:dyDescent="0.25">
      <c r="A31" s="10" t="s">
        <v>53</v>
      </c>
      <c r="B31" s="10"/>
      <c r="C31" s="10"/>
      <c r="D31" s="10"/>
      <c r="E31" s="10"/>
      <c r="F31" s="10"/>
      <c r="G31" s="10"/>
    </row>
    <row r="32" ht="23" customHeight="1" spans="1:7" x14ac:dyDescent="0.25">
      <c r="A32" s="6" t="s">
        <v>52</v>
      </c>
      <c r="B32" s="23">
        <v>46315</v>
      </c>
      <c r="C32" s="6"/>
      <c r="D32" s="6"/>
      <c r="E32" s="24">
        <v>125</v>
      </c>
      <c r="F32" s="25">
        <v>1</v>
      </c>
      <c r="G32" s="15">
        <v>125</v>
      </c>
    </row>
    <row r="33" ht="28" customHeight="1" spans="1:7" x14ac:dyDescent="0.25">
      <c r="A33" s="10" t="s">
        <v>53</v>
      </c>
      <c r="B33" s="10"/>
      <c r="C33" s="10"/>
      <c r="D33" s="10"/>
      <c r="E33" s="10"/>
      <c r="F33" s="10"/>
      <c r="G33" s="10"/>
    </row>
    <row r="34" ht="38" customHeight="1" spans="1:7" x14ac:dyDescent="0.25">
      <c r="A34" s="6" t="s">
        <v>57</v>
      </c>
      <c r="B34" s="23">
        <v>46315</v>
      </c>
      <c r="C34" s="6" t="s">
        <v>56</v>
      </c>
      <c r="D34" s="6"/>
      <c r="E34" s="24">
        <v>2</v>
      </c>
      <c r="F34" s="25">
        <v>1006</v>
      </c>
      <c r="G34" s="15">
        <v>2012</v>
      </c>
    </row>
    <row r="35" ht="28" customHeight="1" spans="1:7" x14ac:dyDescent="0.25">
      <c r="A35" s="10" t="s">
        <v>53</v>
      </c>
      <c r="B35" s="10"/>
      <c r="C35" s="10"/>
      <c r="D35" s="10"/>
      <c r="E35" s="10"/>
      <c r="F35" s="10"/>
      <c r="G35" s="10"/>
    </row>
    <row r="36" ht="28" customHeight="1" spans="1:7" x14ac:dyDescent="0.25">
      <c r="A36" s="7" t="s">
        <v>58</v>
      </c>
      <c r="B36" s="7"/>
      <c r="C36" s="7"/>
      <c r="D36" s="7"/>
      <c r="E36" s="7"/>
      <c r="F36" s="7"/>
      <c r="G36" s="18">
        <v>6399</v>
      </c>
    </row>
    <row r="37" ht="28" customHeight="1" spans="1:7" x14ac:dyDescent="0.25">
      <c r="A37" s="7" t="s">
        <v>59</v>
      </c>
      <c r="B37" s="7"/>
      <c r="C37" s="7"/>
      <c r="D37" s="7"/>
      <c r="E37" s="7"/>
      <c r="F37" s="7"/>
      <c r="G37" s="18">
        <v>4521</v>
      </c>
    </row>
    <row r="39" ht="26" customHeight="1" spans="1:7" x14ac:dyDescent="0.25">
      <c r="A39" s="11" t="s">
        <v>60</v>
      </c>
      <c r="B39" s="11"/>
      <c r="C39" s="11"/>
      <c r="D39" s="11"/>
      <c r="E39" s="11"/>
      <c r="F39" s="11"/>
      <c r="G39" s="11"/>
    </row>
    <row r="40" ht="38" customHeight="1" spans="1:7" x14ac:dyDescent="0.25">
      <c r="A40" s="22" t="s">
        <v>45</v>
      </c>
      <c r="B40" s="22" t="s">
        <v>46</v>
      </c>
      <c r="C40" s="22" t="s">
        <v>47</v>
      </c>
      <c r="D40" s="22" t="s">
        <v>48</v>
      </c>
      <c r="E40" s="22" t="s">
        <v>49</v>
      </c>
      <c r="F40" s="22" t="s">
        <v>50</v>
      </c>
      <c r="G40" s="22" t="s">
        <v>51</v>
      </c>
    </row>
    <row r="41" ht="28" customHeight="1" spans="1:7" x14ac:dyDescent="0.25">
      <c r="A41" s="10" t="s">
        <v>61</v>
      </c>
      <c r="B41" s="10"/>
      <c r="C41" s="10"/>
      <c r="D41" s="10"/>
      <c r="E41" s="10"/>
      <c r="F41" s="10"/>
      <c r="G41" s="10"/>
    </row>
    <row r="42" ht="28" customHeight="1" spans="1:7" x14ac:dyDescent="0.25">
      <c r="A42" s="7" t="s">
        <v>58</v>
      </c>
      <c r="B42" s="7"/>
      <c r="C42" s="7"/>
      <c r="D42" s="7"/>
      <c r="E42" s="7"/>
      <c r="F42" s="7"/>
      <c r="G42" s="18">
        <v>0</v>
      </c>
    </row>
    <row r="43" ht="28" customHeight="1" spans="1:7" x14ac:dyDescent="0.25">
      <c r="A43" s="7" t="s">
        <v>59</v>
      </c>
      <c r="B43" s="7"/>
      <c r="C43" s="7"/>
      <c r="D43" s="7"/>
      <c r="E43" s="7"/>
      <c r="F43" s="7"/>
      <c r="G43" s="18">
        <v>500</v>
      </c>
    </row>
    <row r="45" ht="28" customHeight="1" spans="1:7" x14ac:dyDescent="0.25">
      <c r="A45" s="7" t="s">
        <v>35</v>
      </c>
      <c r="B45" s="7"/>
      <c r="C45" s="7"/>
      <c r="D45" s="7"/>
      <c r="E45" s="7"/>
      <c r="F45" s="7"/>
      <c r="G45" s="18">
        <v>11420</v>
      </c>
    </row>
    <row r="46" ht="28" customHeight="1" spans="1:7" x14ac:dyDescent="0.25">
      <c r="A46" s="7" t="s">
        <v>62</v>
      </c>
      <c r="B46" s="7"/>
      <c r="C46" s="7"/>
      <c r="D46" s="7"/>
      <c r="E46" s="7"/>
      <c r="F46" s="7"/>
      <c r="G46" s="18">
        <v>6399</v>
      </c>
    </row>
    <row r="47" ht="28" customHeight="1" spans="1:7" x14ac:dyDescent="0.25">
      <c r="A47" s="7" t="s">
        <v>63</v>
      </c>
      <c r="B47" s="7"/>
      <c r="C47" s="7"/>
      <c r="D47" s="7"/>
      <c r="E47" s="7"/>
      <c r="F47" s="7"/>
      <c r="G47" s="18">
        <v>5021</v>
      </c>
    </row>
    <row r="48" ht="28" customHeight="1" spans="1:7" x14ac:dyDescent="0.25">
      <c r="A48" s="10" t="s">
        <v>64</v>
      </c>
      <c r="B48" s="10"/>
      <c r="C48" s="10"/>
      <c r="D48" s="10"/>
      <c r="E48" s="10"/>
      <c r="F48" s="10"/>
      <c r="G48" s="10"/>
    </row>
    <row r="50" ht="26" customHeight="1" spans="1:7" x14ac:dyDescent="0.25">
      <c r="A50" s="11" t="s">
        <v>65</v>
      </c>
      <c r="B50" s="11"/>
      <c r="C50" s="11"/>
      <c r="D50" s="11"/>
      <c r="E50" s="11"/>
      <c r="F50" s="11"/>
      <c r="G50" s="11"/>
    </row>
    <row r="51" ht="38" customHeight="1" spans="1:7" x14ac:dyDescent="0.25">
      <c r="A51" s="22" t="s">
        <v>45</v>
      </c>
      <c r="B51" s="22" t="s">
        <v>46</v>
      </c>
      <c r="C51" s="22" t="s">
        <v>47</v>
      </c>
      <c r="D51" s="22" t="s">
        <v>48</v>
      </c>
      <c r="E51" s="22" t="s">
        <v>49</v>
      </c>
      <c r="F51" s="22" t="s">
        <v>50</v>
      </c>
      <c r="G51" s="22" t="s">
        <v>51</v>
      </c>
    </row>
    <row r="52" ht="38" customHeight="1" spans="1:7" x14ac:dyDescent="0.25">
      <c r="A52" s="6" t="s">
        <v>57</v>
      </c>
      <c r="B52" s="23">
        <v>46315</v>
      </c>
      <c r="C52" s="6" t="s">
        <v>56</v>
      </c>
      <c r="D52" s="6"/>
      <c r="E52" s="24">
        <v>2</v>
      </c>
      <c r="F52" s="25">
        <v>1000</v>
      </c>
      <c r="G52" s="15">
        <v>2000</v>
      </c>
    </row>
    <row r="53" ht="28" customHeight="1" spans="1:7" x14ac:dyDescent="0.25">
      <c r="A53" s="10" t="s">
        <v>53</v>
      </c>
      <c r="B53" s="10"/>
      <c r="C53" s="10"/>
      <c r="D53" s="10"/>
      <c r="E53" s="10"/>
      <c r="F53" s="10"/>
      <c r="G53" s="10"/>
    </row>
    <row r="54" ht="23" customHeight="1" spans="1:7" x14ac:dyDescent="0.25">
      <c r="A54" s="6" t="s">
        <v>52</v>
      </c>
      <c r="B54" s="23">
        <v>46315</v>
      </c>
      <c r="C54" s="6"/>
      <c r="D54" s="6"/>
      <c r="E54" s="24">
        <v>125</v>
      </c>
      <c r="F54" s="25">
        <v>1</v>
      </c>
      <c r="G54" s="15">
        <v>125</v>
      </c>
    </row>
    <row r="55" ht="28" customHeight="1" spans="1:7" x14ac:dyDescent="0.25">
      <c r="A55" s="10" t="s">
        <v>53</v>
      </c>
      <c r="B55" s="10"/>
      <c r="C55" s="10"/>
      <c r="D55" s="10"/>
      <c r="E55" s="10"/>
      <c r="F55" s="10"/>
      <c r="G55" s="10"/>
    </row>
    <row r="56" ht="28" customHeight="1" spans="1:7" x14ac:dyDescent="0.25">
      <c r="A56" s="7" t="s">
        <v>58</v>
      </c>
      <c r="B56" s="7"/>
      <c r="C56" s="7"/>
      <c r="D56" s="7"/>
      <c r="E56" s="7"/>
      <c r="F56" s="7"/>
      <c r="G56" s="18">
        <v>2125</v>
      </c>
    </row>
    <row r="58" ht="26" customHeight="1" spans="1:7" x14ac:dyDescent="0.25">
      <c r="A58" s="11" t="s">
        <v>66</v>
      </c>
      <c r="B58" s="11"/>
      <c r="C58" s="11"/>
      <c r="D58" s="11"/>
      <c r="E58" s="11"/>
      <c r="F58" s="11"/>
      <c r="G58" s="11"/>
    </row>
    <row r="59" ht="28" customHeight="1" spans="1:7" x14ac:dyDescent="0.25">
      <c r="A59" s="10" t="s">
        <v>67</v>
      </c>
      <c r="B59" s="10"/>
      <c r="C59" s="10"/>
      <c r="D59" s="10"/>
      <c r="E59" s="10"/>
      <c r="F59" s="10"/>
      <c r="G59" s="10"/>
    </row>
    <row r="60" ht="28" customHeight="1" spans="1:7" x14ac:dyDescent="0.25">
      <c r="A60" s="10" t="s">
        <v>68</v>
      </c>
      <c r="B60" s="10"/>
      <c r="C60" s="10"/>
      <c r="D60" s="10"/>
      <c r="E60" s="10"/>
      <c r="F60" s="10"/>
      <c r="G60" s="10"/>
    </row>
    <row r="61" ht="28" customHeight="1" spans="1:7" x14ac:dyDescent="0.25">
      <c r="A61" s="10" t="s">
        <v>69</v>
      </c>
      <c r="B61" s="10"/>
      <c r="C61" s="10"/>
      <c r="D61" s="10"/>
      <c r="E61" s="10"/>
      <c r="F61" s="10"/>
      <c r="G61" s="10"/>
    </row>
    <row r="62" ht="28" customHeight="1" spans="1:7" x14ac:dyDescent="0.25">
      <c r="A62" s="10" t="s">
        <v>70</v>
      </c>
      <c r="B62" s="10"/>
      <c r="C62" s="10"/>
      <c r="D62" s="10"/>
      <c r="E62" s="10"/>
      <c r="F62" s="10"/>
      <c r="G62" s="10"/>
    </row>
    <row r="63" ht="28" customHeight="1" spans="1:7" x14ac:dyDescent="0.25">
      <c r="A63" s="10" t="s">
        <v>71</v>
      </c>
      <c r="B63" s="10"/>
      <c r="C63" s="10"/>
      <c r="D63" s="10"/>
      <c r="E63" s="10"/>
      <c r="F63" s="10"/>
      <c r="G63" s="10"/>
    </row>
    <row r="64" ht="40" customHeight="1" spans="1:7" x14ac:dyDescent="0.25">
      <c r="A64" s="10" t="s">
        <v>72</v>
      </c>
      <c r="B64" s="10"/>
      <c r="C64" s="10"/>
      <c r="D64" s="10"/>
      <c r="E64" s="10"/>
      <c r="F64" s="10"/>
      <c r="G64" s="10"/>
    </row>
    <row r="66" ht="26" customHeight="1" spans="1:7" x14ac:dyDescent="0.25">
      <c r="A66" s="11" t="s">
        <v>73</v>
      </c>
      <c r="B66" s="11"/>
      <c r="C66" s="11"/>
      <c r="D66" s="11"/>
      <c r="E66" s="11"/>
      <c r="F66" s="11"/>
      <c r="G66" s="11"/>
    </row>
    <row r="67" ht="28" customHeight="1" spans="1:7" x14ac:dyDescent="0.25">
      <c r="A67" s="10" t="s">
        <v>74</v>
      </c>
      <c r="B67" s="10"/>
      <c r="C67" s="10"/>
      <c r="D67" s="10"/>
      <c r="E67" s="10"/>
      <c r="F67" s="10"/>
      <c r="G67" s="10"/>
    </row>
    <row r="68" ht="28" customHeight="1" spans="1:7" x14ac:dyDescent="0.25">
      <c r="A68" s="10" t="s">
        <v>75</v>
      </c>
      <c r="B68" s="10"/>
      <c r="C68" s="10"/>
      <c r="D68" s="10"/>
      <c r="E68" s="10"/>
      <c r="F68" s="10"/>
      <c r="G68" s="10"/>
    </row>
    <row r="69" ht="28" customHeight="1" spans="1:7" x14ac:dyDescent="0.25">
      <c r="A69" s="10" t="s">
        <v>76</v>
      </c>
      <c r="B69" s="10"/>
      <c r="C69" s="10"/>
      <c r="D69" s="10"/>
      <c r="E69" s="10"/>
      <c r="F69" s="10"/>
      <c r="G69" s="10"/>
    </row>
    <row r="70" ht="28" customHeight="1" spans="1:7" x14ac:dyDescent="0.25">
      <c r="A70" s="10" t="s">
        <v>77</v>
      </c>
      <c r="B70" s="10"/>
      <c r="C70" s="10"/>
      <c r="D70" s="10"/>
      <c r="E70" s="10"/>
      <c r="F70" s="10"/>
      <c r="G70" s="10"/>
    </row>
    <row r="71" ht="28" customHeight="1" spans="1:7" x14ac:dyDescent="0.25">
      <c r="A71" s="10" t="s">
        <v>78</v>
      </c>
      <c r="B71" s="10"/>
      <c r="C71" s="10"/>
      <c r="D71" s="10"/>
      <c r="E71" s="10"/>
      <c r="F71" s="10"/>
      <c r="G71" s="10"/>
    </row>
    <row r="72" ht="28" customHeight="1" spans="1:7" x14ac:dyDescent="0.25">
      <c r="A72" s="10" t="s">
        <v>79</v>
      </c>
      <c r="B72" s="10"/>
      <c r="C72" s="10"/>
      <c r="D72" s="10"/>
      <c r="E72" s="10"/>
      <c r="F72" s="10"/>
      <c r="G72" s="10"/>
    </row>
    <row r="73" ht="28" customHeight="1" spans="1:7" x14ac:dyDescent="0.25">
      <c r="A73" s="10" t="s">
        <v>80</v>
      </c>
      <c r="B73" s="10"/>
      <c r="C73" s="10"/>
      <c r="D73" s="10"/>
      <c r="E73" s="10"/>
      <c r="F73" s="10"/>
      <c r="G73" s="10"/>
    </row>
    <row r="74" ht="28" customHeight="1" spans="1:7" x14ac:dyDescent="0.25">
      <c r="A74" s="10" t="s">
        <v>81</v>
      </c>
      <c r="B74" s="10"/>
      <c r="C74" s="10"/>
      <c r="D74" s="10"/>
      <c r="E74" s="10"/>
      <c r="F74" s="10"/>
      <c r="G74" s="10"/>
    </row>
    <row r="75" ht="28" customHeight="1" spans="1:7" x14ac:dyDescent="0.25">
      <c r="A75" s="10" t="s">
        <v>82</v>
      </c>
      <c r="B75" s="10"/>
      <c r="C75" s="10"/>
      <c r="D75" s="10"/>
      <c r="E75" s="10"/>
      <c r="F75" s="10"/>
      <c r="G75" s="10"/>
    </row>
    <row r="76" ht="28" customHeight="1" spans="1:7" x14ac:dyDescent="0.25">
      <c r="A76" s="10" t="s">
        <v>83</v>
      </c>
      <c r="B76" s="10"/>
      <c r="C76" s="10"/>
      <c r="D76" s="10"/>
      <c r="E76" s="10"/>
      <c r="F76" s="10"/>
      <c r="G76" s="10"/>
    </row>
    <row r="77" ht="28" customHeight="1" spans="1:7" x14ac:dyDescent="0.25">
      <c r="A77" s="10" t="s">
        <v>84</v>
      </c>
      <c r="B77" s="10"/>
      <c r="C77" s="10"/>
      <c r="D77" s="10"/>
      <c r="E77" s="10"/>
      <c r="F77" s="10"/>
      <c r="G77" s="10"/>
    </row>
    <row r="78" ht="40" customHeight="1" spans="1:7" x14ac:dyDescent="0.25">
      <c r="A78" s="10" t="s">
        <v>85</v>
      </c>
      <c r="B78" s="10"/>
      <c r="C78" s="10"/>
      <c r="D78" s="10"/>
      <c r="E78" s="10"/>
      <c r="F78" s="10"/>
      <c r="G78" s="10"/>
    </row>
  </sheetData>
  <mergeCells count="58">
    <mergeCell ref="B1:G1"/>
    <mergeCell ref="F2:G2"/>
    <mergeCell ref="B3:D3"/>
    <mergeCell ref="F3:G3"/>
    <mergeCell ref="B4:D4"/>
    <mergeCell ref="F4:G4"/>
    <mergeCell ref="B5:D5"/>
    <mergeCell ref="F5:G5"/>
    <mergeCell ref="B6:D6"/>
    <mergeCell ref="E6:G6"/>
    <mergeCell ref="A7:G7"/>
    <mergeCell ref="A8:G8"/>
    <mergeCell ref="A11:G11"/>
    <mergeCell ref="A13:F13"/>
    <mergeCell ref="A15:G15"/>
    <mergeCell ref="A18:G18"/>
    <mergeCell ref="A19:G19"/>
    <mergeCell ref="A22:G22"/>
    <mergeCell ref="A25:G25"/>
    <mergeCell ref="A27:G27"/>
    <mergeCell ref="A29:G29"/>
    <mergeCell ref="A31:G31"/>
    <mergeCell ref="A33:G33"/>
    <mergeCell ref="A35:G35"/>
    <mergeCell ref="A36:F36"/>
    <mergeCell ref="A37:F37"/>
    <mergeCell ref="A39:G39"/>
    <mergeCell ref="A41:G41"/>
    <mergeCell ref="A42:F42"/>
    <mergeCell ref="A43:F43"/>
    <mergeCell ref="A45:F45"/>
    <mergeCell ref="A46:F46"/>
    <mergeCell ref="A47:F47"/>
    <mergeCell ref="A48:G48"/>
    <mergeCell ref="A50:G50"/>
    <mergeCell ref="A53:G53"/>
    <mergeCell ref="A55:G55"/>
    <mergeCell ref="A56:F56"/>
    <mergeCell ref="A58:G58"/>
    <mergeCell ref="A59:G59"/>
    <mergeCell ref="A60:G60"/>
    <mergeCell ref="A61:G61"/>
    <mergeCell ref="A62:G62"/>
    <mergeCell ref="A63:G63"/>
    <mergeCell ref="A64:G64"/>
    <mergeCell ref="A66:G66"/>
    <mergeCell ref="A67:G67"/>
    <mergeCell ref="A68:G68"/>
    <mergeCell ref="A69:G69"/>
    <mergeCell ref="A70:G70"/>
    <mergeCell ref="A71:G71"/>
    <mergeCell ref="A72:G72"/>
    <mergeCell ref="A73:G73"/>
    <mergeCell ref="A74:G74"/>
    <mergeCell ref="A75:G75"/>
    <mergeCell ref="A76:G76"/>
    <mergeCell ref="A77:G77"/>
    <mergeCell ref="A78:G78"/>
  </mergeCells>
  <dataValidations count="16">
    <dataValidation type="date" allowBlank="1" sqref="B24">
      <formula1>2</formula1>
      <formula2>2958465</formula2>
    </dataValidation>
    <dataValidation type="date" allowBlank="1" sqref="B26">
      <formula1>2</formula1>
      <formula2>2958465</formula2>
    </dataValidation>
    <dataValidation type="date" allowBlank="1" sqref="B28">
      <formula1>2</formula1>
      <formula2>2958465</formula2>
    </dataValidation>
    <dataValidation type="date" allowBlank="1" sqref="B30">
      <formula1>2</formula1>
      <formula2>2958465</formula2>
    </dataValidation>
    <dataValidation type="date" allowBlank="1" sqref="B32">
      <formula1>2</formula1>
      <formula2>2958465</formula2>
    </dataValidation>
    <dataValidation type="date" allowBlank="1" sqref="B34">
      <formula1>2</formula1>
      <formula2>2958465</formula2>
    </dataValidation>
    <dataValidation type="date" allowBlank="1" sqref="B52">
      <formula1>2</formula1>
      <formula2>2958465</formula2>
    </dataValidation>
    <dataValidation type="date" allowBlank="1" sqref="B54">
      <formula1>2</formula1>
      <formula2>2958465</formula2>
    </dataValidation>
    <dataValidation type="decimal" operator="greaterThan" allowBlank="1" sqref="F24">
      <formula1>0</formula1>
    </dataValidation>
    <dataValidation type="decimal" operator="greaterThan" allowBlank="1" sqref="F26">
      <formula1>0</formula1>
    </dataValidation>
    <dataValidation type="decimal" operator="greaterThan" allowBlank="1" sqref="F28">
      <formula1>0</formula1>
    </dataValidation>
    <dataValidation type="decimal" operator="greaterThan" allowBlank="1" sqref="F30">
      <formula1>0</formula1>
    </dataValidation>
    <dataValidation type="decimal" operator="greaterThan" allowBlank="1" sqref="F32">
      <formula1>0</formula1>
    </dataValidation>
    <dataValidation type="decimal" operator="greaterThan" allowBlank="1" sqref="F34">
      <formula1>0</formula1>
    </dataValidation>
    <dataValidation type="decimal" operator="greaterThan" allowBlank="1" sqref="F52">
      <formula1>0</formula1>
    </dataValidation>
    <dataValidation type="decimal" operator="greaterThan" allowBlank="1" sqref="F54">
      <formula1>0</formula1>
    </dataValidation>
  </dataValidation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workbookViewId="0" showGridLines="0"/>
  </sheetViews>
  <sheetFormatPr defaultRowHeight="15" outlineLevelRow="0" outlineLevelCol="0" x14ac:dyDescent="55"/>
  <cols>
    <col min="1" max="1" width="37" customWidth="1"/>
    <col min="2" max="2" width="20.42578125" customWidth="1"/>
    <col min="3" max="3" width="16.28515625" customWidth="1"/>
    <col min="4" max="4" width="11.7109375" customWidth="1"/>
    <col min="5" max="5" width="15.85546875" customWidth="1"/>
    <col min="6" max="6" width="17.140625" customWidth="1"/>
    <col min="7" max="7" width="20.5703125" customWidth="1"/>
  </cols>
  <sheetData>
    <row r="1" ht="26" customHeight="1" spans="1:7" x14ac:dyDescent="0.25">
      <c r="A1" s="11" t="s">
        <v>86</v>
      </c>
      <c r="B1" s="11"/>
      <c r="C1" s="11"/>
      <c r="D1" s="11"/>
      <c r="E1" s="11"/>
      <c r="F1" s="11"/>
      <c r="G1" s="11"/>
    </row>
    <row r="2" ht="28" customHeight="1" spans="1:7" x14ac:dyDescent="0.25">
      <c r="A2" s="10" t="s">
        <v>84</v>
      </c>
      <c r="B2" s="10"/>
      <c r="C2" s="10"/>
      <c r="D2" s="10"/>
      <c r="E2" s="10"/>
      <c r="F2" s="10"/>
      <c r="G2" s="10"/>
    </row>
    <row r="3" ht="40" customHeight="1" spans="1:7" x14ac:dyDescent="0.25">
      <c r="A3" s="10" t="s">
        <v>87</v>
      </c>
      <c r="B3" s="10"/>
      <c r="C3" s="10"/>
      <c r="D3" s="10"/>
      <c r="E3" s="10"/>
      <c r="F3" s="10"/>
      <c r="G3" s="10"/>
    </row>
    <row r="4" ht="26" customHeight="1" spans="1:7" x14ac:dyDescent="0.25">
      <c r="A4" s="11" t="s">
        <v>88</v>
      </c>
      <c r="B4" s="11"/>
      <c r="C4" s="11"/>
      <c r="D4" s="11"/>
      <c r="E4" s="11"/>
      <c r="F4" s="11"/>
      <c r="G4" s="11"/>
    </row>
    <row r="5" ht="28" customHeight="1" spans="1:7" x14ac:dyDescent="0.25">
      <c r="A5" s="7" t="s">
        <v>89</v>
      </c>
      <c r="B5" s="7"/>
      <c r="C5" s="7"/>
      <c r="D5" s="7"/>
      <c r="E5" s="7"/>
      <c r="F5" s="7"/>
      <c r="G5" s="18">
        <v>2147.75</v>
      </c>
    </row>
    <row r="6" ht="28" customHeight="1" spans="1:7" x14ac:dyDescent="0.25">
      <c r="A6" s="7" t="s">
        <v>90</v>
      </c>
      <c r="B6" s="7"/>
      <c r="C6" s="7"/>
      <c r="D6" s="7"/>
      <c r="E6" s="7"/>
      <c r="F6" s="7"/>
      <c r="G6" s="18">
        <v>-4251.25</v>
      </c>
    </row>
    <row r="7" ht="28" customHeight="1" spans="1:7" x14ac:dyDescent="0.25">
      <c r="A7" s="7" t="s">
        <v>91</v>
      </c>
      <c r="B7" s="7"/>
      <c r="C7" s="7"/>
      <c r="D7" s="7"/>
      <c r="E7" s="7"/>
      <c r="F7" s="7"/>
      <c r="G7" s="18">
        <v>6399</v>
      </c>
    </row>
    <row r="8" ht="28" customHeight="1" spans="1:7" x14ac:dyDescent="0.25">
      <c r="A8" s="7" t="s">
        <v>92</v>
      </c>
      <c r="B8" s="7"/>
      <c r="C8" s="7"/>
      <c r="D8" s="7"/>
      <c r="E8" s="7"/>
      <c r="F8" s="7"/>
      <c r="G8" s="18">
        <v>6399</v>
      </c>
    </row>
    <row r="9" ht="28" customHeight="1" spans="1:7" x14ac:dyDescent="0.25">
      <c r="A9" s="7" t="s">
        <v>93</v>
      </c>
      <c r="B9" s="7"/>
      <c r="C9" s="7"/>
      <c r="D9" s="7"/>
      <c r="E9" s="7"/>
      <c r="F9" s="7"/>
      <c r="G9" s="18">
        <v>2125</v>
      </c>
    </row>
    <row r="11" ht="26" customHeight="1" spans="1:7" x14ac:dyDescent="0.25">
      <c r="A11" s="11" t="s">
        <v>94</v>
      </c>
      <c r="B11" s="11"/>
      <c r="C11" s="11"/>
      <c r="D11" s="11"/>
      <c r="E11" s="11"/>
      <c r="F11" s="11"/>
      <c r="G11" s="11"/>
    </row>
    <row r="12" ht="38" customHeight="1" spans="1:7" x14ac:dyDescent="0.25">
      <c r="A12" s="22" t="s">
        <v>45</v>
      </c>
      <c r="B12" s="22" t="s">
        <v>46</v>
      </c>
      <c r="C12" s="22" t="s">
        <v>47</v>
      </c>
      <c r="D12" s="22" t="s">
        <v>48</v>
      </c>
      <c r="E12" s="22" t="s">
        <v>49</v>
      </c>
      <c r="F12" s="22" t="s">
        <v>50</v>
      </c>
      <c r="G12" s="22" t="s">
        <v>51</v>
      </c>
    </row>
    <row r="13" ht="23" customHeight="1" spans="1:7" x14ac:dyDescent="0.25">
      <c r="A13" s="6" t="s">
        <v>52</v>
      </c>
      <c r="B13" s="23">
        <v>46315</v>
      </c>
      <c r="C13" s="6"/>
      <c r="D13" s="6"/>
      <c r="E13" s="24">
        <v>125</v>
      </c>
      <c r="F13" s="25">
        <v>1</v>
      </c>
      <c r="G13" s="15">
        <v>125</v>
      </c>
    </row>
    <row r="14" ht="28" customHeight="1" spans="1:7" x14ac:dyDescent="0.25">
      <c r="A14" s="10" t="s">
        <v>53</v>
      </c>
      <c r="B14" s="10"/>
      <c r="C14" s="10"/>
      <c r="D14" s="10"/>
      <c r="E14" s="10"/>
      <c r="F14" s="10"/>
      <c r="G14" s="10"/>
    </row>
    <row r="15" ht="23" customHeight="1" spans="1:7" x14ac:dyDescent="0.25">
      <c r="A15" s="6" t="s">
        <v>54</v>
      </c>
      <c r="B15" s="23">
        <v>46315</v>
      </c>
      <c r="C15" s="6"/>
      <c r="D15" s="6"/>
      <c r="E15" s="24">
        <v>2</v>
      </c>
      <c r="F15" s="25">
        <v>1002</v>
      </c>
      <c r="G15" s="15">
        <v>2004</v>
      </c>
    </row>
    <row r="16" ht="28" customHeight="1" spans="1:7" x14ac:dyDescent="0.25">
      <c r="A16" s="10" t="s">
        <v>53</v>
      </c>
      <c r="B16" s="10"/>
      <c r="C16" s="10"/>
      <c r="D16" s="10"/>
      <c r="E16" s="10"/>
      <c r="F16" s="10"/>
      <c r="G16" s="10"/>
    </row>
    <row r="17" ht="38" customHeight="1" spans="1:7" x14ac:dyDescent="0.25">
      <c r="A17" s="6" t="s">
        <v>55</v>
      </c>
      <c r="B17" s="23">
        <v>46315</v>
      </c>
      <c r="C17" s="6" t="s">
        <v>56</v>
      </c>
      <c r="D17" s="6"/>
      <c r="E17" s="24">
        <v>125</v>
      </c>
      <c r="F17" s="25">
        <v>1</v>
      </c>
      <c r="G17" s="15">
        <v>125</v>
      </c>
    </row>
    <row r="18" ht="28" customHeight="1" spans="1:7" x14ac:dyDescent="0.25">
      <c r="A18" s="10" t="s">
        <v>53</v>
      </c>
      <c r="B18" s="10"/>
      <c r="C18" s="10"/>
      <c r="D18" s="10"/>
      <c r="E18" s="10"/>
      <c r="F18" s="10"/>
      <c r="G18" s="10"/>
    </row>
    <row r="19" ht="23" customHeight="1" spans="1:7" x14ac:dyDescent="0.25">
      <c r="A19" s="6" t="s">
        <v>54</v>
      </c>
      <c r="B19" s="23">
        <v>46315</v>
      </c>
      <c r="C19" s="6"/>
      <c r="D19" s="6"/>
      <c r="E19" s="24">
        <v>2</v>
      </c>
      <c r="F19" s="25">
        <v>1004</v>
      </c>
      <c r="G19" s="15">
        <v>2008</v>
      </c>
    </row>
    <row r="20" ht="28" customHeight="1" spans="1:7" x14ac:dyDescent="0.25">
      <c r="A20" s="10" t="s">
        <v>53</v>
      </c>
      <c r="B20" s="10"/>
      <c r="C20" s="10"/>
      <c r="D20" s="10"/>
      <c r="E20" s="10"/>
      <c r="F20" s="10"/>
      <c r="G20" s="10"/>
    </row>
    <row r="21" ht="23" customHeight="1" spans="1:7" x14ac:dyDescent="0.25">
      <c r="A21" s="6" t="s">
        <v>52</v>
      </c>
      <c r="B21" s="23">
        <v>46315</v>
      </c>
      <c r="C21" s="6"/>
      <c r="D21" s="6"/>
      <c r="E21" s="24">
        <v>125</v>
      </c>
      <c r="F21" s="25">
        <v>1</v>
      </c>
      <c r="G21" s="15">
        <v>125</v>
      </c>
    </row>
    <row r="22" ht="28" customHeight="1" spans="1:7" x14ac:dyDescent="0.25">
      <c r="A22" s="10" t="s">
        <v>53</v>
      </c>
      <c r="B22" s="10"/>
      <c r="C22" s="10"/>
      <c r="D22" s="10"/>
      <c r="E22" s="10"/>
      <c r="F22" s="10"/>
      <c r="G22" s="10"/>
    </row>
    <row r="23" ht="38" customHeight="1" spans="1:7" x14ac:dyDescent="0.25">
      <c r="A23" s="6" t="s">
        <v>57</v>
      </c>
      <c r="B23" s="23">
        <v>46315</v>
      </c>
      <c r="C23" s="6" t="s">
        <v>56</v>
      </c>
      <c r="D23" s="6"/>
      <c r="E23" s="24">
        <v>2</v>
      </c>
      <c r="F23" s="25">
        <v>1006</v>
      </c>
      <c r="G23" s="15">
        <v>2012</v>
      </c>
    </row>
    <row r="24" ht="28" customHeight="1" spans="1:7" x14ac:dyDescent="0.25">
      <c r="A24" s="10" t="s">
        <v>53</v>
      </c>
      <c r="B24" s="10"/>
      <c r="C24" s="10"/>
      <c r="D24" s="10"/>
      <c r="E24" s="10"/>
      <c r="F24" s="10"/>
      <c r="G24" s="10"/>
    </row>
    <row r="25" ht="28" customHeight="1" spans="1:7" x14ac:dyDescent="0.25">
      <c r="A25" s="7" t="s">
        <v>58</v>
      </c>
      <c r="B25" s="7"/>
      <c r="C25" s="7"/>
      <c r="D25" s="7"/>
      <c r="E25" s="7"/>
      <c r="F25" s="7"/>
      <c r="G25" s="18">
        <v>6399</v>
      </c>
    </row>
    <row r="27" ht="26" customHeight="1" spans="1:7" x14ac:dyDescent="0.25">
      <c r="A27" s="11" t="s">
        <v>95</v>
      </c>
      <c r="B27" s="11"/>
      <c r="C27" s="11"/>
      <c r="D27" s="11"/>
      <c r="E27" s="11"/>
      <c r="F27" s="11"/>
      <c r="G27" s="11"/>
    </row>
    <row r="28" ht="38" customHeight="1" spans="1:7" x14ac:dyDescent="0.25">
      <c r="A28" s="22" t="s">
        <v>45</v>
      </c>
      <c r="B28" s="22" t="s">
        <v>46</v>
      </c>
      <c r="C28" s="22" t="s">
        <v>47</v>
      </c>
      <c r="D28" s="22" t="s">
        <v>48</v>
      </c>
      <c r="E28" s="22" t="s">
        <v>49</v>
      </c>
      <c r="F28" s="22" t="s">
        <v>50</v>
      </c>
      <c r="G28" s="22" t="s">
        <v>51</v>
      </c>
    </row>
    <row r="29" ht="38" customHeight="1" spans="1:7" x14ac:dyDescent="0.25">
      <c r="A29" s="6" t="s">
        <v>57</v>
      </c>
      <c r="B29" s="23">
        <v>46315</v>
      </c>
      <c r="C29" s="6" t="s">
        <v>56</v>
      </c>
      <c r="D29" s="6"/>
      <c r="E29" s="24">
        <v>2</v>
      </c>
      <c r="F29" s="25">
        <v>1000</v>
      </c>
      <c r="G29" s="15">
        <v>2000</v>
      </c>
    </row>
    <row r="30" ht="28" customHeight="1" spans="1:7" x14ac:dyDescent="0.25">
      <c r="A30" s="10" t="s">
        <v>53</v>
      </c>
      <c r="B30" s="10"/>
      <c r="C30" s="10"/>
      <c r="D30" s="10"/>
      <c r="E30" s="10"/>
      <c r="F30" s="10"/>
      <c r="G30" s="10"/>
    </row>
    <row r="31" ht="23" customHeight="1" spans="1:7" x14ac:dyDescent="0.25">
      <c r="A31" s="6" t="s">
        <v>52</v>
      </c>
      <c r="B31" s="23">
        <v>46315</v>
      </c>
      <c r="C31" s="6"/>
      <c r="D31" s="6"/>
      <c r="E31" s="24">
        <v>125</v>
      </c>
      <c r="F31" s="25">
        <v>1</v>
      </c>
      <c r="G31" s="15">
        <v>125</v>
      </c>
    </row>
    <row r="32" ht="28" customHeight="1" spans="1:7" x14ac:dyDescent="0.25">
      <c r="A32" s="10" t="s">
        <v>53</v>
      </c>
      <c r="B32" s="10"/>
      <c r="C32" s="10"/>
      <c r="D32" s="10"/>
      <c r="E32" s="10"/>
      <c r="F32" s="10"/>
      <c r="G32" s="10"/>
    </row>
    <row r="33" ht="28" customHeight="1" spans="1:7" x14ac:dyDescent="0.25">
      <c r="A33" s="7" t="s">
        <v>58</v>
      </c>
      <c r="B33" s="7"/>
      <c r="C33" s="7"/>
      <c r="D33" s="7"/>
      <c r="E33" s="7"/>
      <c r="F33" s="7"/>
      <c r="G33" s="18">
        <v>2125</v>
      </c>
    </row>
  </sheetData>
  <mergeCells count="21">
    <mergeCell ref="A1:G1"/>
    <mergeCell ref="A2:G2"/>
    <mergeCell ref="A3:G3"/>
    <mergeCell ref="A4:G4"/>
    <mergeCell ref="A5:F5"/>
    <mergeCell ref="A6:F6"/>
    <mergeCell ref="A7:F7"/>
    <mergeCell ref="A8:F8"/>
    <mergeCell ref="A9:F9"/>
    <mergeCell ref="A11:G11"/>
    <mergeCell ref="A14:G14"/>
    <mergeCell ref="A16:G16"/>
    <mergeCell ref="A18:G18"/>
    <mergeCell ref="A20:G20"/>
    <mergeCell ref="A22:G22"/>
    <mergeCell ref="A24:G24"/>
    <mergeCell ref="A25:F25"/>
    <mergeCell ref="A27:G27"/>
    <mergeCell ref="A30:G30"/>
    <mergeCell ref="A32:G32"/>
    <mergeCell ref="A33:F33"/>
  </mergeCells>
  <dataValidations count="16">
    <dataValidation type="date" allowBlank="1" sqref="B13">
      <formula1>2</formula1>
      <formula2>2958465</formula2>
    </dataValidation>
    <dataValidation type="date" allowBlank="1" sqref="B15">
      <formula1>2</formula1>
      <formula2>2958465</formula2>
    </dataValidation>
    <dataValidation type="date" allowBlank="1" sqref="B17">
      <formula1>2</formula1>
      <formula2>2958465</formula2>
    </dataValidation>
    <dataValidation type="date" allowBlank="1" sqref="B19">
      <formula1>2</formula1>
      <formula2>2958465</formula2>
    </dataValidation>
    <dataValidation type="date" allowBlank="1" sqref="B21">
      <formula1>2</formula1>
      <formula2>2958465</formula2>
    </dataValidation>
    <dataValidation type="date" allowBlank="1" sqref="B23">
      <formula1>2</formula1>
      <formula2>2958465</formula2>
    </dataValidation>
    <dataValidation type="date" allowBlank="1" sqref="B29">
      <formula1>2</formula1>
      <formula2>2958465</formula2>
    </dataValidation>
    <dataValidation type="date" allowBlank="1" sqref="B31">
      <formula1>2</formula1>
      <formula2>2958465</formula2>
    </dataValidation>
    <dataValidation type="decimal" operator="greaterThan" allowBlank="1" sqref="F13">
      <formula1>0</formula1>
    </dataValidation>
    <dataValidation type="decimal" operator="greaterThan" allowBlank="1" sqref="F15">
      <formula1>0</formula1>
    </dataValidation>
    <dataValidation type="decimal" operator="greaterThan" allowBlank="1" sqref="F17">
      <formula1>0</formula1>
    </dataValidation>
    <dataValidation type="decimal" operator="greaterThan" allowBlank="1" sqref="F19">
      <formula1>0</formula1>
    </dataValidation>
    <dataValidation type="decimal" operator="greaterThan" allowBlank="1" sqref="F21">
      <formula1>0</formula1>
    </dataValidation>
    <dataValidation type="decimal" operator="greaterThan" allowBlank="1" sqref="F23">
      <formula1>0</formula1>
    </dataValidation>
    <dataValidation type="decimal" operator="greaterThan" allowBlank="1" sqref="F29">
      <formula1>0</formula1>
    </dataValidation>
    <dataValidation type="decimal" operator="greaterThan" allowBlank="1" sqref="F31">
      <formula1>0</formula1>
    </dataValidation>
  </dataValidation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showGridLines="0"/>
  </sheetViews>
  <sheetFormatPr defaultRowHeight="15" outlineLevelRow="0" outlineLevelCol="0" x14ac:dyDescent="55"/>
  <cols>
    <col min="1" max="1" width="37" customWidth="1"/>
    <col min="2" max="2" width="20.42578125" customWidth="1"/>
    <col min="3" max="3" width="16.28515625" customWidth="1"/>
    <col min="4" max="4" width="11.7109375" customWidth="1"/>
    <col min="5" max="5" width="15.85546875" customWidth="1"/>
    <col min="6" max="6" width="17.140625" customWidth="1"/>
    <col min="7" max="7" width="20.5703125" customWidth="1"/>
  </cols>
  <sheetData>
    <row r="1" ht="26" customHeight="1" spans="1:7" x14ac:dyDescent="0.25">
      <c r="A1" s="11" t="s">
        <v>96</v>
      </c>
      <c r="B1" s="11"/>
      <c r="C1" s="11"/>
      <c r="D1" s="11"/>
      <c r="E1" s="11"/>
      <c r="F1" s="11"/>
      <c r="G1" s="11"/>
    </row>
    <row r="2" ht="38" customHeight="1" spans="1:7" x14ac:dyDescent="0.25">
      <c r="A2" s="22" t="s">
        <v>21</v>
      </c>
      <c r="B2" s="22" t="s">
        <v>97</v>
      </c>
      <c r="C2" s="22" t="s">
        <v>98</v>
      </c>
      <c r="D2" s="22" t="s">
        <v>99</v>
      </c>
      <c r="E2" s="22" t="s">
        <v>100</v>
      </c>
      <c r="F2" s="22" t="s">
        <v>101</v>
      </c>
      <c r="G2" s="22" t="s">
        <v>102</v>
      </c>
    </row>
    <row r="3" ht="23" customHeight="1" spans="1:7" x14ac:dyDescent="0.25">
      <c r="A3" s="6" t="s">
        <v>28</v>
      </c>
      <c r="B3" s="23">
        <v>46266</v>
      </c>
      <c r="C3" s="26">
        <v>46296</v>
      </c>
      <c r="D3" s="6" t="s">
        <v>103</v>
      </c>
      <c r="E3" s="24">
        <v>9800</v>
      </c>
      <c r="F3" s="15">
        <v>10000</v>
      </c>
      <c r="G3" s="20">
        <v>0.020408</v>
      </c>
    </row>
  </sheetData>
  <mergeCells count="1">
    <mergeCell ref="A1:G1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</vt:lpstr>
      <vt:lpstr>Catering</vt:lpstr>
      <vt:lpstr>Actualizaciones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Eventos</dc:creator>
  <dc:title/>
  <dc:subject/>
  <dc:description/>
  <cp:keywords/>
  <cp:category/>
  <cp:lastModifiedBy>Software Eventos</cp:lastModifiedBy>
  <dcterms:created xsi:type="dcterms:W3CDTF">2026-10-22T00:02:09Z</dcterms:created>
  <dcterms:modified xsi:type="dcterms:W3CDTF">2026-10-22T00:02:09Z</dcterms:modified>
</cp:coreProperties>
</file>